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3767CCD-AA8F-4217-B934-C99AA5B3F048}" xr6:coauthVersionLast="47" xr6:coauthVersionMax="47" xr10:uidLastSave="{00000000-0000-0000-0000-000000000000}"/>
  <bookViews>
    <workbookView xWindow="-120" yWindow="-120" windowWidth="20730" windowHeight="11760" xr2:uid="{4272CDA2-AAE1-4854-95B1-E30FCB35F967}"/>
  </bookViews>
  <sheets>
    <sheet name="transacoes_financeiras_limpa" sheetId="1" r:id="rId1"/>
    <sheet name="faturamento total completo" sheetId="4" r:id="rId2"/>
    <sheet name="maior gasto da empresa" sheetId="6" r:id="rId3"/>
    <sheet name="método de pagamento com canc" sheetId="7" r:id="rId4"/>
  </sheets>
  <definedNames>
    <definedName name="_xlnm._FilterDatabase" localSheetId="0" hidden="1">transacoes_financeiras_limpa!$A$1:$A$11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L4" i="1"/>
  <c r="L5" i="1"/>
  <c r="L6" i="1"/>
  <c r="L7" i="1"/>
  <c r="L8" i="1"/>
  <c r="L3" i="1"/>
  <c r="L9" i="1"/>
  <c r="L10" i="1"/>
  <c r="L11" i="1"/>
</calcChain>
</file>

<file path=xl/sharedStrings.xml><?xml version="1.0" encoding="utf-8"?>
<sst xmlns="http://schemas.openxmlformats.org/spreadsheetml/2006/main" count="125" uniqueCount="73">
  <si>
    <t>transaction_status</t>
  </si>
  <si>
    <t>('ETB', 'Ethiopian birr')</t>
  </si>
  <si>
    <t>Deposit</t>
  </si>
  <si>
    <t>35f245d1-d88f-4c9b-b74a-3859ddf8fc81</t>
  </si>
  <si>
    <t>Completed</t>
  </si>
  <si>
    <t>Health</t>
  </si>
  <si>
    <t>Credit Card</t>
  </si>
  <si>
    <t>9c2e2cfa-42a4-4315-ae72-69e50f69ba48</t>
  </si>
  <si>
    <t>('SHP', 'Saint Helena pound')</t>
  </si>
  <si>
    <t>Withdrawal</t>
  </si>
  <si>
    <t>5648d40a-d228-4632-8a5a-66c0eb5bebee</t>
  </si>
  <si>
    <t>Cancelled</t>
  </si>
  <si>
    <t>Food &amp; Drink</t>
  </si>
  <si>
    <t>885e86f4-9791-4851-bfff-24f0f26e2dd7</t>
  </si>
  <si>
    <t>('VND', 'Vietnamese Ä‘á»“ng')</t>
  </si>
  <si>
    <t>6c2dbf36-8fe3-4de2-811b-935acd39598b</t>
  </si>
  <si>
    <t>6b62944b-b0f1-4a98-9c41-c434e993eaf2</t>
  </si>
  <si>
    <t>Pending</t>
  </si>
  <si>
    <t>Entertainment</t>
  </si>
  <si>
    <t>a3f54965-c049-4371-87ce-6e79b57f7e5e</t>
  </si>
  <si>
    <t>('DKK', 'Danish krone')</t>
  </si>
  <si>
    <t>Transfer</t>
  </si>
  <si>
    <t>c948de97-b08e-4d56-b8f0-413535d63a60</t>
  </si>
  <si>
    <t>8f914afe-b7d9-487b-a0af-8c25b7af6714</t>
  </si>
  <si>
    <t>Electronics</t>
  </si>
  <si>
    <t>PayPal</t>
  </si>
  <si>
    <t>4d09fc80-0dec-4d34-a8fe-f8951fecb73c</t>
  </si>
  <si>
    <t>('NIS', 'Israeli new shekel')</t>
  </si>
  <si>
    <t>37d4475d-bbca-4b75-97ec-bf7cb088e79c</t>
  </si>
  <si>
    <t>ed084d1a-7500-4b04-9e94-2b71054f9a20</t>
  </si>
  <si>
    <t>Failed</t>
  </si>
  <si>
    <t>Other</t>
  </si>
  <si>
    <t>Bank Transfer</t>
  </si>
  <si>
    <t>179911f2-099a-4d81-beac-64576fbed7e8</t>
  </si>
  <si>
    <t>('SZL', 'Swazi lilangeni')</t>
  </si>
  <si>
    <t>db38bdb4-337f-4bcf-9ff5-84d629a9929a</t>
  </si>
  <si>
    <t>Bills</t>
  </si>
  <si>
    <t>143f89a4-cb6c-4fad-b65f-892f24f605ab</t>
  </si>
  <si>
    <t>('RUB', 'Russian ruble')</t>
  </si>
  <si>
    <t>99258fc0-6e7c-47e1-ba46-93def7d8485f</t>
  </si>
  <si>
    <t>a0b2d8a9-a8e3-42cc-86e8-2b0dd528d2c0</t>
  </si>
  <si>
    <t>2c1e6278-fc38-449f-a486-e0341843eb8c</t>
  </si>
  <si>
    <t>('PAB', 'Panamanian balboa')</t>
  </si>
  <si>
    <t>00245b0c-5f11-4ef5-8675-3786b4836716</t>
  </si>
  <si>
    <t>0ba1db2d-8b3c-4fcd-a7fc-75119fb4be69</t>
  </si>
  <si>
    <t>('TOP', 'Tongan paÊ»anga')</t>
  </si>
  <si>
    <t>3342f352-45e5-4287-8e10-70444814059d</t>
  </si>
  <si>
    <t>Travel</t>
  </si>
  <si>
    <t>67dff8de-55b2-4274-a0f4-5aaebb5b75d5</t>
  </si>
  <si>
    <t>ac1e8bd6-c260-4f3c-b58c-e29caf9d9cb7</t>
  </si>
  <si>
    <t>Debit Card</t>
  </si>
  <si>
    <t>Não Informado</t>
  </si>
  <si>
    <t>ebf16f2c-ee2a-47fc-9aaf-1026807a38c9)</t>
  </si>
  <si>
    <t>Rótulos de Linha</t>
  </si>
  <si>
    <t>Total Geral</t>
  </si>
  <si>
    <t>Soma de total_amount</t>
  </si>
  <si>
    <t>Maior faturamento por dia baseado em operações finalizadas.</t>
  </si>
  <si>
    <t>jan</t>
  </si>
  <si>
    <t>20/jan</t>
  </si>
  <si>
    <t>O método de pagamento com maiores valores em cancelamento é via Cartão de Crédito, pois é a modalidade de pagamento mais utilizada e com maior flexibilidades em casos de cancelamentos ou estornos.</t>
  </si>
  <si>
    <t>O maior gasto da empresa está sendo em contas, sendo o dobro em comparação as outras despesas porém sendo um valor fixo (normalmente) por mês.</t>
  </si>
  <si>
    <t>total</t>
  </si>
  <si>
    <t>id</t>
  </si>
  <si>
    <t>data</t>
  </si>
  <si>
    <t>valor</t>
  </si>
  <si>
    <t>moeda</t>
  </si>
  <si>
    <t>tipo transação</t>
  </si>
  <si>
    <t>remetente</t>
  </si>
  <si>
    <t>conta de recebimento</t>
  </si>
  <si>
    <t>status</t>
  </si>
  <si>
    <t>categoria</t>
  </si>
  <si>
    <t>método pagamento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</si>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</sst>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13" fillId="7" borderId="7" xfId="13" applyAlignment="1">
      <alignment horizontal="left" vertical="center" wrapText="1"/>
    </xf>
    <xf numFmtId="0" fontId="13" fillId="7" borderId="7" xfId="13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[análise_transações_financeiras.xlsx]maior gasto da empresa!Tabela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'maior gasto da empresa'!$B$3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'maior gasto da empresa'!$A$4:$A$11</c:f>
              <c:strCache>
                <c:ptCount val="7"/>
                <c:pt idx="0">
                  <c:v>Bills</c:v>
                </c:pt>
                <c:pt idx="1">
                  <c:v>Electronics</c:v>
                </c:pt>
                <c:pt idx="2">
                  <c:v>Entertainment</c:v>
                </c:pt>
                <c:pt idx="3">
                  <c:v>Food &amp; Drink</c:v>
                </c:pt>
                <c:pt idx="4">
                  <c:v>Health</c:v>
                </c:pt>
                <c:pt idx="5">
                  <c:v>Other</c:v>
                </c:pt>
                <c:pt idx="6">
                  <c:v>Travel</c:v>
                </c:pt>
              </c:strCache>
            </c:strRef>
          </c:cat>
          <c:val>
            <c:numRef>
              <c:f>'maior gasto da empresa'!$B$4:$B$11</c:f>
              <c:numCache>
                <c:formatCode>General</c:formatCode>
                <c:ptCount val="7"/>
                <c:pt idx="0">
                  <c:v>1949.2399999999998</c:v>
                </c:pt>
                <c:pt idx="1">
                  <c:v>947.07</c:v>
                </c:pt>
                <c:pt idx="2">
                  <c:v>972.84</c:v>
                </c:pt>
                <c:pt idx="3">
                  <c:v>763.37</c:v>
                </c:pt>
                <c:pt idx="4">
                  <c:v>294.22000000000003</c:v>
                </c:pt>
                <c:pt idx="5">
                  <c:v>807.57</c:v>
                </c:pt>
                <c:pt idx="6">
                  <c:v>421.05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D-4BFB-9933-0615BE2F3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664448"/>
        <c:axId val="1080660608"/>
      </c:barChart>
      <c:catAx>
        <c:axId val="108066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660608"/>
        <c:crosses val="autoZero"/>
        <c:auto val="1"/>
        <c:lblAlgn val="ctr"/>
        <c:lblOffset val="100"/>
        <c:noMultiLvlLbl val="0"/>
      </c:catAx>
      <c:valAx>
        <c:axId val="108066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66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4762</xdr:rowOff>
    </xdr:from>
    <xdr:to>
      <xdr:col>8</xdr:col>
      <xdr:colOff>28575</xdr:colOff>
      <xdr:row>17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B1D8B0-7E55-C9B4-647F-6AA30EAA3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4.433017592593" createdVersion="8" refreshedVersion="8" minRefreshableVersion="3" recordCount="10" xr:uid="{29C134E2-4C13-400E-89F3-893441A4BC25}">
  <cacheSource type="worksheet">
    <worksheetSource ref="A1:L11" sheet="transacoes_financeiras_limpa"/>
  </cacheSource>
  <cacheFields count="14">
    <cacheField name="transaction_id" numFmtId="0">
      <sharedItems count="10">
        <s v="ebf16f2c-ee2a-47fc-9aaf-1026807a38c9)"/>
        <s v="9c2e2cfa-42a4-4315-ae72-69e50f69ba48"/>
        <s v="885e86f4-9791-4851-bfff-24f0f26e2dd7"/>
        <s v="a3f54965-c049-4371-87ce-6e79b57f7e5e"/>
        <s v="4d09fc80-0dec-4d34-a8fe-f8951fecb73c"/>
        <s v="179911f2-099a-4d81-beac-64576fbed7e8"/>
        <s v="143f89a4-cb6c-4fad-b65f-892f24f605ab"/>
        <s v="2c1e6278-fc38-449f-a486-e0341843eb8c"/>
        <s v="0ba1db2d-8b3c-4fcd-a7fc-75119fb4be69"/>
        <s v="67dff8de-55b2-4274-a0f4-5aaebb5b75d5"/>
      </sharedItems>
    </cacheField>
    <cacheField name="date" numFmtId="14">
      <sharedItems containsSemiMixedTypes="0" containsNonDate="0" containsDate="1" containsString="0" minDate="2026-01-01T00:00:00" maxDate="2026-10-02T00:00:00" count="7">
        <d v="2026-01-20T00:00:00"/>
        <d v="2026-10-01T00:00:00"/>
        <d v="2026-01-14T00:00:00"/>
        <d v="2026-01-16T00:00:00"/>
        <d v="2026-01-01T00:00:00"/>
        <d v="2026-06-01T00:00:00"/>
        <d v="2026-01-19T00:00:00"/>
      </sharedItems>
      <fieldGroup par="13"/>
    </cacheField>
    <cacheField name="amount" numFmtId="164">
      <sharedItems containsSemiMixedTypes="0" containsString="0" containsNumber="1" minValue="81.92" maxValue="991.43" count="10">
        <n v="290.54000000000002"/>
        <n v="756.42"/>
        <n v="81.92"/>
        <n v="939.85"/>
        <n v="646.74"/>
        <n v="991.43"/>
        <n v="944.17"/>
        <n v="878.84"/>
        <n v="412.75"/>
        <n v="157.02000000000001"/>
      </sharedItems>
    </cacheField>
    <cacheField name="currency" numFmtId="0">
      <sharedItems count="9">
        <s v="('ETB', 'Ethiopian birr')"/>
        <s v="('SHP', 'Saint Helena pound')"/>
        <s v="('VND', 'Vietnamese Ä‘á»“ng')"/>
        <s v="('DKK', 'Danish krone')"/>
        <s v="('NIS', 'Israeli new shekel')"/>
        <s v="('SZL', 'Swazi lilangeni')"/>
        <s v="('RUB', 'Russian ruble')"/>
        <s v="('PAB', 'Panamanian balboa')"/>
        <s v="('TOP', 'Tongan paÊ»anga')"/>
      </sharedItems>
    </cacheField>
    <cacheField name="transaction_type" numFmtId="0">
      <sharedItems count="3">
        <s v="Deposit"/>
        <s v="Withdrawal"/>
        <s v="Transfer"/>
      </sharedItems>
    </cacheField>
    <cacheField name="sender_account" numFmtId="0">
      <sharedItems count="10">
        <s v="35f245d1-d88f-4c9b-b74a-3859ddf8fc81"/>
        <s v="5648d40a-d228-4632-8a5a-66c0eb5bebee"/>
        <s v="6c2dbf36-8fe3-4de2-811b-935acd39598b"/>
        <s v="c948de97-b08e-4d56-b8f0-413535d63a60"/>
        <s v="37d4475d-bbca-4b75-97ec-bf7cb088e79c"/>
        <s v="db38bdb4-337f-4bcf-9ff5-84d629a9929a"/>
        <s v="99258fc0-6e7c-47e1-ba46-93def7d8485f"/>
        <s v="00245b0c-5f11-4ef5-8675-3786b4836716"/>
        <s v="3342f352-45e5-4287-8e10-70444814059d"/>
        <s v="ac1e8bd6-c260-4f3c-b58c-e29caf9d9cb7"/>
      </sharedItems>
    </cacheField>
    <cacheField name="receiver_account" numFmtId="0">
      <sharedItems/>
    </cacheField>
    <cacheField name="transaction_status" numFmtId="0">
      <sharedItems count="4">
        <s v="Completed"/>
        <s v="Cancelled"/>
        <s v="Pending"/>
        <s v="Failed"/>
      </sharedItems>
    </cacheField>
    <cacheField name="transaction_category" numFmtId="0">
      <sharedItems count="7">
        <s v="Health"/>
        <s v="Food &amp; Drink"/>
        <s v="Entertainment"/>
        <s v="Electronics"/>
        <s v="Other"/>
        <s v="Bills"/>
        <s v="Travel"/>
      </sharedItems>
    </cacheField>
    <cacheField name="payment_method" numFmtId="0">
      <sharedItems count="4">
        <s v="Credit Card"/>
        <s v="PayPal"/>
        <s v="Bank Transfer"/>
        <s v="Debit Card"/>
      </sharedItems>
    </cacheField>
    <cacheField name="fees" numFmtId="164">
      <sharedItems containsSemiMixedTypes="0" containsString="0" containsNumber="1" minValue="1.26" maxValue="8.3000000000000007"/>
    </cacheField>
    <cacheField name="total_amount" numFmtId="164">
      <sharedItems containsSemiMixedTypes="0" containsString="0" containsNumber="1" minValue="88.490000000000009" maxValue="998.7399999999999"/>
    </cacheField>
    <cacheField name="Dias (date)" numFmtId="0" databaseField="0">
      <fieldGroup base="1">
        <rangePr groupBy="days" startDate="2026-01-01T00:00:00" endDate="2026-10-02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0/2026"/>
        </groupItems>
      </fieldGroup>
    </cacheField>
    <cacheField name="Meses (date)" numFmtId="0" databaseField="0">
      <fieldGroup base="1">
        <rangePr groupBy="months" startDate="2026-01-01T00:00:00" endDate="2026-10-02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x v="0"/>
    <s v="Não Informado"/>
    <x v="0"/>
    <x v="0"/>
    <x v="0"/>
    <n v="3.68"/>
    <n v="294.22000000000003"/>
  </r>
  <r>
    <x v="1"/>
    <x v="1"/>
    <x v="1"/>
    <x v="1"/>
    <x v="1"/>
    <x v="1"/>
    <s v="Não Informado"/>
    <x v="1"/>
    <x v="1"/>
    <x v="0"/>
    <n v="6.95"/>
    <n v="763.37"/>
  </r>
  <r>
    <x v="2"/>
    <x v="2"/>
    <x v="2"/>
    <x v="2"/>
    <x v="1"/>
    <x v="2"/>
    <s v="6b62944b-b0f1-4a98-9c41-c434e993eaf2"/>
    <x v="2"/>
    <x v="2"/>
    <x v="0"/>
    <n v="6.57"/>
    <n v="88.490000000000009"/>
  </r>
  <r>
    <x v="3"/>
    <x v="3"/>
    <x v="3"/>
    <x v="3"/>
    <x v="2"/>
    <x v="3"/>
    <s v="8f914afe-b7d9-487b-a0af-8c25b7af6714"/>
    <x v="1"/>
    <x v="3"/>
    <x v="1"/>
    <n v="7.22"/>
    <n v="947.07"/>
  </r>
  <r>
    <x v="4"/>
    <x v="4"/>
    <x v="4"/>
    <x v="4"/>
    <x v="2"/>
    <x v="4"/>
    <s v="ed084d1a-7500-4b04-9e94-2b71054f9a20"/>
    <x v="3"/>
    <x v="4"/>
    <x v="2"/>
    <n v="1.26"/>
    <n v="648"/>
  </r>
  <r>
    <x v="5"/>
    <x v="0"/>
    <x v="5"/>
    <x v="5"/>
    <x v="1"/>
    <x v="5"/>
    <s v="Não Informado"/>
    <x v="1"/>
    <x v="5"/>
    <x v="0"/>
    <n v="7.31"/>
    <n v="998.7399999999999"/>
  </r>
  <r>
    <x v="6"/>
    <x v="3"/>
    <x v="6"/>
    <x v="6"/>
    <x v="0"/>
    <x v="6"/>
    <s v="a0b2d8a9-a8e3-42cc-86e8-2b0dd528d2c0"/>
    <x v="1"/>
    <x v="5"/>
    <x v="0"/>
    <n v="6.33"/>
    <n v="950.5"/>
  </r>
  <r>
    <x v="7"/>
    <x v="5"/>
    <x v="7"/>
    <x v="7"/>
    <x v="2"/>
    <x v="7"/>
    <s v="Não Informado"/>
    <x v="1"/>
    <x v="2"/>
    <x v="0"/>
    <n v="5.51"/>
    <n v="884.35"/>
  </r>
  <r>
    <x v="8"/>
    <x v="3"/>
    <x v="8"/>
    <x v="8"/>
    <x v="0"/>
    <x v="8"/>
    <s v="Não Informado"/>
    <x v="1"/>
    <x v="6"/>
    <x v="1"/>
    <n v="8.3000000000000007"/>
    <n v="421.05"/>
  </r>
  <r>
    <x v="9"/>
    <x v="6"/>
    <x v="9"/>
    <x v="5"/>
    <x v="0"/>
    <x v="9"/>
    <s v="Não Informado"/>
    <x v="1"/>
    <x v="4"/>
    <x v="3"/>
    <n v="2.5499999999999998"/>
    <n v="159.57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8FC3C-476B-4D02-8C25-E8CE3AEA801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8" firstHeaderRow="1" firstDataRow="1" firstDataCol="1" rowPageCount="1" colPageCount="1"/>
  <pivotFields count="14">
    <pivotField showAll="0"/>
    <pivotField axis="axisRow" numFmtId="14" showAll="0">
      <items count="8">
        <item x="4"/>
        <item x="2"/>
        <item x="3"/>
        <item x="6"/>
        <item x="0"/>
        <item x="5"/>
        <item x="1"/>
        <item t="default"/>
      </items>
    </pivotField>
    <pivotField numFmtId="164" showAll="0">
      <items count="11">
        <item x="2"/>
        <item x="9"/>
        <item x="0"/>
        <item x="8"/>
        <item x="4"/>
        <item x="1"/>
        <item x="7"/>
        <item x="3"/>
        <item x="6"/>
        <item x="5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5">
        <item h="1" x="1"/>
        <item x="0"/>
        <item h="1" x="3"/>
        <item h="1" x="2"/>
        <item t="default"/>
      </items>
    </pivotField>
    <pivotField showAll="0"/>
    <pivotField showAll="0"/>
    <pivotField numFmtId="164" showAll="0"/>
    <pivotField dataField="1" numFmtId="164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3"/>
    <field x="12"/>
    <field x="1"/>
  </rowFields>
  <rowItems count="4">
    <i>
      <x v="1"/>
    </i>
    <i r="1">
      <x v="20"/>
    </i>
    <i r="2">
      <x v="4"/>
    </i>
    <i t="grand">
      <x/>
    </i>
  </rowItems>
  <colItems count="1">
    <i/>
  </colItems>
  <pageFields count="1">
    <pageField fld="7" hier="-1"/>
  </pageFields>
  <dataFields count="1">
    <dataField name="Soma de total_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27AEE-AB67-4392-B14C-E3B4F634947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4">
    <pivotField showAll="0"/>
    <pivotField numFmtId="14" showAll="0">
      <items count="8">
        <item x="4"/>
        <item x="2"/>
        <item x="3"/>
        <item x="6"/>
        <item x="0"/>
        <item x="5"/>
        <item x="1"/>
        <item t="default"/>
      </items>
    </pivotField>
    <pivotField numFmtId="164" showAll="0"/>
    <pivotField showAll="0">
      <items count="10">
        <item x="3"/>
        <item x="0"/>
        <item x="4"/>
        <item x="7"/>
        <item x="6"/>
        <item x="1"/>
        <item x="5"/>
        <item x="8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1">
        <item x="7"/>
        <item x="8"/>
        <item x="0"/>
        <item x="4"/>
        <item x="1"/>
        <item x="2"/>
        <item x="6"/>
        <item x="9"/>
        <item x="3"/>
        <item x="5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axis="axisRow" showAll="0">
      <items count="8">
        <item x="5"/>
        <item x="3"/>
        <item x="2"/>
        <item x="1"/>
        <item x="0"/>
        <item x="4"/>
        <item x="6"/>
        <item t="default"/>
      </items>
    </pivotField>
    <pivotField showAll="0"/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total_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AF07D-DCDF-420C-98B8-DFA9F41B131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>
      <items count="11">
        <item x="8"/>
        <item x="6"/>
        <item x="5"/>
        <item x="7"/>
        <item x="4"/>
        <item x="9"/>
        <item x="2"/>
        <item x="1"/>
        <item x="3"/>
        <item x="0"/>
        <item t="default"/>
      </items>
    </pivotField>
    <pivotField numFmtId="14" showAll="0">
      <items count="8">
        <item x="4"/>
        <item x="2"/>
        <item x="3"/>
        <item x="6"/>
        <item x="0"/>
        <item x="5"/>
        <item x="1"/>
        <item t="default"/>
      </items>
    </pivotField>
    <pivotField numFmtId="164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8">
        <item x="5"/>
        <item x="3"/>
        <item x="2"/>
        <item x="1"/>
        <item x="0"/>
        <item x="4"/>
        <item x="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9"/>
  </rowFields>
  <rowItems count="11">
    <i>
      <x/>
    </i>
    <i r="1">
      <x v="1"/>
    </i>
    <i r="1">
      <x v="2"/>
    </i>
    <i r="1">
      <x v="3"/>
    </i>
    <i>
      <x v="1"/>
    </i>
    <i r="1">
      <x v="1"/>
    </i>
    <i>
      <x v="2"/>
    </i>
    <i r="1">
      <x/>
    </i>
    <i>
      <x v="3"/>
    </i>
    <i r="1">
      <x v="1"/>
    </i>
    <i t="grand">
      <x/>
    </i>
  </rowItems>
  <colItems count="1">
    <i/>
  </colItems>
  <dataFields count="1">
    <dataField name="Soma de total_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1996-92D9-428E-A739-DCC7D88C43A3}">
  <dimension ref="A1:L11"/>
  <sheetViews>
    <sheetView tabSelected="1" topLeftCell="D1" workbookViewId="0">
      <selection activeCell="D2" sqref="D2"/>
    </sheetView>
  </sheetViews>
  <sheetFormatPr defaultRowHeight="15" x14ac:dyDescent="0.25"/>
  <cols>
    <col min="1" max="1" width="9" customWidth="1"/>
    <col min="2" max="2" width="12.42578125" customWidth="1"/>
    <col min="3" max="3" width="9" style="2"/>
    <col min="4" max="4" width="12.42578125" customWidth="1"/>
    <col min="5" max="5" width="14.42578125" bestFit="1" customWidth="1"/>
    <col min="6" max="7" width="24.42578125" customWidth="1"/>
    <col min="8" max="8" width="19" customWidth="1"/>
    <col min="9" max="9" width="12.85546875" customWidth="1"/>
    <col min="11" max="11" width="9" style="2"/>
    <col min="12" max="12" width="12.85546875" customWidth="1"/>
  </cols>
  <sheetData>
    <row r="1" spans="1:12" x14ac:dyDescent="0.25">
      <c r="A1" t="s">
        <v>62</v>
      </c>
      <c r="B1" s="3" t="s">
        <v>63</v>
      </c>
      <c r="C1" s="2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s="2" t="s">
        <v>72</v>
      </c>
      <c r="L1" t="s">
        <v>61</v>
      </c>
    </row>
    <row r="2" spans="1:12" x14ac:dyDescent="0.25">
      <c r="A2" t="s">
        <v>52</v>
      </c>
      <c r="B2" s="1">
        <v>46042</v>
      </c>
      <c r="C2" s="2">
        <v>290.54000000000002</v>
      </c>
      <c r="D2" t="s">
        <v>1</v>
      </c>
      <c r="E2" t="s">
        <v>2</v>
      </c>
      <c r="F2" t="s">
        <v>3</v>
      </c>
      <c r="G2" t="s">
        <v>51</v>
      </c>
      <c r="H2" t="s">
        <v>4</v>
      </c>
      <c r="I2" t="s">
        <v>5</v>
      </c>
      <c r="J2" t="s">
        <v>6</v>
      </c>
      <c r="K2" s="2">
        <v>3.68</v>
      </c>
      <c r="L2" s="2">
        <f>SUM(C2,K2)</f>
        <v>294.22000000000003</v>
      </c>
    </row>
    <row r="3" spans="1:12" x14ac:dyDescent="0.25">
      <c r="A3" t="s">
        <v>7</v>
      </c>
      <c r="B3" s="1">
        <v>46296</v>
      </c>
      <c r="C3" s="2">
        <v>756.42</v>
      </c>
      <c r="D3" t="s">
        <v>8</v>
      </c>
      <c r="E3" t="s">
        <v>9</v>
      </c>
      <c r="F3" t="s">
        <v>10</v>
      </c>
      <c r="G3" t="s">
        <v>51</v>
      </c>
      <c r="H3" t="s">
        <v>11</v>
      </c>
      <c r="I3" t="s">
        <v>12</v>
      </c>
      <c r="J3" t="s">
        <v>6</v>
      </c>
      <c r="K3" s="2">
        <v>6.95</v>
      </c>
      <c r="L3" s="2">
        <f>SUM(C3,K3)</f>
        <v>763.37</v>
      </c>
    </row>
    <row r="4" spans="1:12" x14ac:dyDescent="0.25">
      <c r="A4" t="s">
        <v>13</v>
      </c>
      <c r="B4" s="1">
        <v>46036</v>
      </c>
      <c r="C4" s="2">
        <v>81.92</v>
      </c>
      <c r="D4" t="s">
        <v>14</v>
      </c>
      <c r="E4" t="s">
        <v>9</v>
      </c>
      <c r="F4" t="s">
        <v>15</v>
      </c>
      <c r="G4" t="s">
        <v>16</v>
      </c>
      <c r="H4" t="s">
        <v>17</v>
      </c>
      <c r="I4" t="s">
        <v>18</v>
      </c>
      <c r="J4" t="s">
        <v>6</v>
      </c>
      <c r="K4" s="2">
        <v>6.57</v>
      </c>
      <c r="L4" s="2">
        <f t="shared" ref="L4:L11" si="0">SUM(C4,K4)</f>
        <v>88.490000000000009</v>
      </c>
    </row>
    <row r="5" spans="1:12" x14ac:dyDescent="0.25">
      <c r="A5" t="s">
        <v>19</v>
      </c>
      <c r="B5" s="1">
        <v>46038</v>
      </c>
      <c r="C5" s="2">
        <v>939.85</v>
      </c>
      <c r="D5" t="s">
        <v>20</v>
      </c>
      <c r="E5" t="s">
        <v>21</v>
      </c>
      <c r="F5" t="s">
        <v>22</v>
      </c>
      <c r="G5" t="s">
        <v>23</v>
      </c>
      <c r="H5" t="s">
        <v>11</v>
      </c>
      <c r="I5" t="s">
        <v>24</v>
      </c>
      <c r="J5" t="s">
        <v>25</v>
      </c>
      <c r="K5" s="2">
        <v>7.22</v>
      </c>
      <c r="L5" s="2">
        <f t="shared" si="0"/>
        <v>947.07</v>
      </c>
    </row>
    <row r="6" spans="1:12" x14ac:dyDescent="0.25">
      <c r="A6" t="s">
        <v>26</v>
      </c>
      <c r="B6" s="1">
        <v>46023</v>
      </c>
      <c r="C6" s="2">
        <v>646.74</v>
      </c>
      <c r="D6" t="s">
        <v>27</v>
      </c>
      <c r="E6" t="s">
        <v>21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s="2">
        <v>1.26</v>
      </c>
      <c r="L6" s="2">
        <f t="shared" si="0"/>
        <v>648</v>
      </c>
    </row>
    <row r="7" spans="1:12" x14ac:dyDescent="0.25">
      <c r="A7" t="s">
        <v>33</v>
      </c>
      <c r="B7" s="1">
        <v>46042</v>
      </c>
      <c r="C7" s="2">
        <v>991.43</v>
      </c>
      <c r="D7" t="s">
        <v>34</v>
      </c>
      <c r="E7" t="s">
        <v>9</v>
      </c>
      <c r="F7" t="s">
        <v>35</v>
      </c>
      <c r="G7" t="s">
        <v>51</v>
      </c>
      <c r="H7" t="s">
        <v>11</v>
      </c>
      <c r="I7" t="s">
        <v>36</v>
      </c>
      <c r="J7" t="s">
        <v>6</v>
      </c>
      <c r="K7" s="2">
        <v>7.31</v>
      </c>
      <c r="L7" s="2">
        <f t="shared" si="0"/>
        <v>998.7399999999999</v>
      </c>
    </row>
    <row r="8" spans="1:12" x14ac:dyDescent="0.25">
      <c r="A8" t="s">
        <v>37</v>
      </c>
      <c r="B8" s="1">
        <v>46038</v>
      </c>
      <c r="C8" s="2">
        <v>944.17</v>
      </c>
      <c r="D8" t="s">
        <v>38</v>
      </c>
      <c r="E8" t="s">
        <v>2</v>
      </c>
      <c r="F8" t="s">
        <v>39</v>
      </c>
      <c r="G8" t="s">
        <v>40</v>
      </c>
      <c r="H8" t="s">
        <v>11</v>
      </c>
      <c r="I8" t="s">
        <v>36</v>
      </c>
      <c r="J8" t="s">
        <v>6</v>
      </c>
      <c r="K8" s="2">
        <v>6.33</v>
      </c>
      <c r="L8" s="2">
        <f t="shared" si="0"/>
        <v>950.5</v>
      </c>
    </row>
    <row r="9" spans="1:12" x14ac:dyDescent="0.25">
      <c r="A9" t="s">
        <v>41</v>
      </c>
      <c r="B9" s="1">
        <v>46174</v>
      </c>
      <c r="C9" s="2">
        <v>878.84</v>
      </c>
      <c r="D9" t="s">
        <v>42</v>
      </c>
      <c r="E9" t="s">
        <v>21</v>
      </c>
      <c r="F9" t="s">
        <v>43</v>
      </c>
      <c r="G9" t="s">
        <v>51</v>
      </c>
      <c r="H9" t="s">
        <v>11</v>
      </c>
      <c r="I9" t="s">
        <v>18</v>
      </c>
      <c r="J9" t="s">
        <v>6</v>
      </c>
      <c r="K9" s="2">
        <v>5.51</v>
      </c>
      <c r="L9" s="2">
        <f t="shared" si="0"/>
        <v>884.35</v>
      </c>
    </row>
    <row r="10" spans="1:12" x14ac:dyDescent="0.25">
      <c r="A10" t="s">
        <v>44</v>
      </c>
      <c r="B10" s="1">
        <v>46038</v>
      </c>
      <c r="C10" s="2">
        <v>412.75</v>
      </c>
      <c r="D10" t="s">
        <v>45</v>
      </c>
      <c r="E10" t="s">
        <v>2</v>
      </c>
      <c r="F10" t="s">
        <v>46</v>
      </c>
      <c r="G10" t="s">
        <v>51</v>
      </c>
      <c r="H10" t="s">
        <v>11</v>
      </c>
      <c r="I10" t="s">
        <v>47</v>
      </c>
      <c r="J10" t="s">
        <v>25</v>
      </c>
      <c r="K10" s="2">
        <v>8.3000000000000007</v>
      </c>
      <c r="L10" s="2">
        <f t="shared" si="0"/>
        <v>421.05</v>
      </c>
    </row>
    <row r="11" spans="1:12" x14ac:dyDescent="0.25">
      <c r="A11" t="s">
        <v>48</v>
      </c>
      <c r="B11" s="1">
        <v>46041</v>
      </c>
      <c r="C11" s="2">
        <v>157.02000000000001</v>
      </c>
      <c r="D11" t="s">
        <v>34</v>
      </c>
      <c r="E11" t="s">
        <v>2</v>
      </c>
      <c r="F11" t="s">
        <v>49</v>
      </c>
      <c r="G11" t="s">
        <v>51</v>
      </c>
      <c r="H11" t="s">
        <v>11</v>
      </c>
      <c r="I11" t="s">
        <v>31</v>
      </c>
      <c r="J11" t="s">
        <v>50</v>
      </c>
      <c r="K11" s="2">
        <v>2.5499999999999998</v>
      </c>
      <c r="L11" s="2">
        <f t="shared" si="0"/>
        <v>159.57000000000002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ED8A-2B70-4690-B58E-FFA33373FA21}">
  <dimension ref="A2:B11"/>
  <sheetViews>
    <sheetView workbookViewId="0">
      <selection activeCell="C21" sqref="C21"/>
    </sheetView>
  </sheetViews>
  <sheetFormatPr defaultRowHeight="15" x14ac:dyDescent="0.25"/>
  <cols>
    <col min="1" max="1" width="18.42578125" bestFit="1" customWidth="1"/>
    <col min="2" max="2" width="21.42578125" bestFit="1" customWidth="1"/>
    <col min="3" max="3" width="16.140625" bestFit="1" customWidth="1"/>
    <col min="4" max="4" width="13" bestFit="1" customWidth="1"/>
  </cols>
  <sheetData>
    <row r="2" spans="1:2" x14ac:dyDescent="0.25">
      <c r="A2" s="5" t="s">
        <v>0</v>
      </c>
      <c r="B2" t="s">
        <v>4</v>
      </c>
    </row>
    <row r="4" spans="1:2" x14ac:dyDescent="0.25">
      <c r="A4" s="5" t="s">
        <v>53</v>
      </c>
      <c r="B4" t="s">
        <v>55</v>
      </c>
    </row>
    <row r="5" spans="1:2" x14ac:dyDescent="0.25">
      <c r="A5" s="3" t="s">
        <v>57</v>
      </c>
      <c r="B5" s="4">
        <v>294.22000000000003</v>
      </c>
    </row>
    <row r="6" spans="1:2" x14ac:dyDescent="0.25">
      <c r="A6" s="6" t="s">
        <v>58</v>
      </c>
      <c r="B6" s="4">
        <v>294.22000000000003</v>
      </c>
    </row>
    <row r="7" spans="1:2" x14ac:dyDescent="0.25">
      <c r="A7" s="7">
        <v>46042</v>
      </c>
      <c r="B7" s="4">
        <v>294.22000000000003</v>
      </c>
    </row>
    <row r="8" spans="1:2" x14ac:dyDescent="0.25">
      <c r="A8" s="3" t="s">
        <v>54</v>
      </c>
      <c r="B8" s="4">
        <v>294.22000000000003</v>
      </c>
    </row>
    <row r="9" spans="1:2" ht="15.75" thickBot="1" x14ac:dyDescent="0.3"/>
    <row r="10" spans="1:2" ht="61.5" thickTop="1" thickBot="1" x14ac:dyDescent="0.3">
      <c r="A10" s="9" t="s">
        <v>56</v>
      </c>
    </row>
    <row r="11" spans="1:2" ht="15.75" thickTop="1" x14ac:dyDescent="0.2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5833-F4DA-4EA4-9616-86EED9BEE5AA}">
  <dimension ref="A3:B20"/>
  <sheetViews>
    <sheetView workbookViewId="0">
      <selection activeCell="A19" sqref="A19"/>
    </sheetView>
  </sheetViews>
  <sheetFormatPr defaultRowHeight="15" x14ac:dyDescent="0.25"/>
  <cols>
    <col min="1" max="1" width="18.42578125" bestFit="1" customWidth="1"/>
    <col min="2" max="2" width="21.42578125" bestFit="1" customWidth="1"/>
    <col min="3" max="3" width="20.5703125" bestFit="1" customWidth="1"/>
  </cols>
  <sheetData>
    <row r="3" spans="1:2" x14ac:dyDescent="0.25">
      <c r="A3" s="5" t="s">
        <v>53</v>
      </c>
      <c r="B3" t="s">
        <v>55</v>
      </c>
    </row>
    <row r="4" spans="1:2" x14ac:dyDescent="0.25">
      <c r="A4" s="3" t="s">
        <v>36</v>
      </c>
      <c r="B4" s="4">
        <v>1949.2399999999998</v>
      </c>
    </row>
    <row r="5" spans="1:2" x14ac:dyDescent="0.25">
      <c r="A5" s="3" t="s">
        <v>24</v>
      </c>
      <c r="B5" s="4">
        <v>947.07</v>
      </c>
    </row>
    <row r="6" spans="1:2" x14ac:dyDescent="0.25">
      <c r="A6" s="3" t="s">
        <v>18</v>
      </c>
      <c r="B6" s="4">
        <v>972.84</v>
      </c>
    </row>
    <row r="7" spans="1:2" x14ac:dyDescent="0.25">
      <c r="A7" s="3" t="s">
        <v>12</v>
      </c>
      <c r="B7" s="4">
        <v>763.37</v>
      </c>
    </row>
    <row r="8" spans="1:2" x14ac:dyDescent="0.25">
      <c r="A8" s="3" t="s">
        <v>5</v>
      </c>
      <c r="B8" s="4">
        <v>294.22000000000003</v>
      </c>
    </row>
    <row r="9" spans="1:2" x14ac:dyDescent="0.25">
      <c r="A9" s="3" t="s">
        <v>31</v>
      </c>
      <c r="B9" s="4">
        <v>807.57</v>
      </c>
    </row>
    <row r="10" spans="1:2" x14ac:dyDescent="0.25">
      <c r="A10" s="3" t="s">
        <v>47</v>
      </c>
      <c r="B10" s="4">
        <v>421.05</v>
      </c>
    </row>
    <row r="11" spans="1:2" x14ac:dyDescent="0.25">
      <c r="A11" s="3" t="s">
        <v>54</v>
      </c>
      <c r="B11" s="4">
        <v>6155.3600000000006</v>
      </c>
    </row>
    <row r="18" spans="1:1" ht="15.75" thickBot="1" x14ac:dyDescent="0.3"/>
    <row r="19" spans="1:1" ht="151.5" thickTop="1" thickBot="1" x14ac:dyDescent="0.3">
      <c r="A19" s="9" t="s">
        <v>60</v>
      </c>
    </row>
    <row r="20" spans="1:1" ht="15.75" thickTop="1" x14ac:dyDescent="0.25"/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C22F-6B14-4B1F-87FA-9C09C578DBDC}">
  <dimension ref="A3:B18"/>
  <sheetViews>
    <sheetView workbookViewId="0">
      <selection activeCell="E12" sqref="E12"/>
    </sheetView>
  </sheetViews>
  <sheetFormatPr defaultRowHeight="15" x14ac:dyDescent="0.25"/>
  <cols>
    <col min="1" max="1" width="18.42578125" bestFit="1" customWidth="1"/>
    <col min="2" max="2" width="21.42578125" bestFit="1" customWidth="1"/>
  </cols>
  <sheetData>
    <row r="3" spans="1:2" x14ac:dyDescent="0.25">
      <c r="A3" s="5" t="s">
        <v>53</v>
      </c>
      <c r="B3" t="s">
        <v>55</v>
      </c>
    </row>
    <row r="4" spans="1:2" x14ac:dyDescent="0.25">
      <c r="A4" s="3" t="s">
        <v>11</v>
      </c>
      <c r="B4" s="4">
        <v>5124.6499999999996</v>
      </c>
    </row>
    <row r="5" spans="1:2" x14ac:dyDescent="0.25">
      <c r="A5" s="6" t="s">
        <v>6</v>
      </c>
      <c r="B5" s="4">
        <v>3596.9599999999996</v>
      </c>
    </row>
    <row r="6" spans="1:2" x14ac:dyDescent="0.25">
      <c r="A6" s="6" t="s">
        <v>50</v>
      </c>
      <c r="B6" s="4">
        <v>159.57000000000002</v>
      </c>
    </row>
    <row r="7" spans="1:2" x14ac:dyDescent="0.25">
      <c r="A7" s="6" t="s">
        <v>25</v>
      </c>
      <c r="B7" s="4">
        <v>1368.1200000000001</v>
      </c>
    </row>
    <row r="8" spans="1:2" x14ac:dyDescent="0.25">
      <c r="A8" s="3" t="s">
        <v>4</v>
      </c>
      <c r="B8" s="4">
        <v>294.22000000000003</v>
      </c>
    </row>
    <row r="9" spans="1:2" x14ac:dyDescent="0.25">
      <c r="A9" s="6" t="s">
        <v>6</v>
      </c>
      <c r="B9" s="4">
        <v>294.22000000000003</v>
      </c>
    </row>
    <row r="10" spans="1:2" x14ac:dyDescent="0.25">
      <c r="A10" s="3" t="s">
        <v>30</v>
      </c>
      <c r="B10" s="4">
        <v>648</v>
      </c>
    </row>
    <row r="11" spans="1:2" x14ac:dyDescent="0.25">
      <c r="A11" s="6" t="s">
        <v>32</v>
      </c>
      <c r="B11" s="4">
        <v>648</v>
      </c>
    </row>
    <row r="12" spans="1:2" x14ac:dyDescent="0.25">
      <c r="A12" s="3" t="s">
        <v>17</v>
      </c>
      <c r="B12" s="4">
        <v>88.490000000000009</v>
      </c>
    </row>
    <row r="13" spans="1:2" x14ac:dyDescent="0.25">
      <c r="A13" s="6" t="s">
        <v>6</v>
      </c>
      <c r="B13" s="4">
        <v>88.490000000000009</v>
      </c>
    </row>
    <row r="14" spans="1:2" x14ac:dyDescent="0.25">
      <c r="A14" s="3" t="s">
        <v>54</v>
      </c>
      <c r="B14" s="4">
        <v>6155.36</v>
      </c>
    </row>
    <row r="16" spans="1:2" ht="15.75" thickBot="1" x14ac:dyDescent="0.3"/>
    <row r="17" spans="1:1" ht="211.5" thickTop="1" thickBot="1" x14ac:dyDescent="0.3">
      <c r="A17" s="8" t="s">
        <v>59</v>
      </c>
    </row>
    <row r="18" spans="1:1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transacoes_financeiras_limpa</vt:lpstr>
      <vt:lpstr>faturamento total completo</vt:lpstr>
      <vt:lpstr>maior gasto da empresa</vt:lpstr>
      <vt:lpstr>método de pagamento com canc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2026-01-22T12:36:00Z</dcterms:created>
  <dcterms:modified xsi:type="dcterms:W3CDTF">2026-02-08T20:06:51Z</dcterms:modified>
</cp:coreProperties>
</file>